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7\Documents\A_Research\Autoflow\Polymerization_Depolymerization_Autoflow\"/>
    </mc:Choice>
  </mc:AlternateContent>
  <xr:revisionPtr revIDLastSave="0" documentId="8_{3CCED76D-1AAC-4B01-9CB2-9CEE39856F48}" xr6:coauthVersionLast="47" xr6:coauthVersionMax="47" xr10:uidLastSave="{00000000-0000-0000-0000-000000000000}"/>
  <bookViews>
    <workbookView xWindow="28680" yWindow="-120" windowWidth="29040" windowHeight="17520" activeTab="1" xr2:uid="{D289D2F4-53FE-8846-B862-8F54CF8C1127}"/>
  </bookViews>
  <sheets>
    <sheet name="MMA_Input" sheetId="2" r:id="rId1"/>
    <sheet name="MMA_Output_Conversion" sheetId="1" r:id="rId2"/>
    <sheet name="MMA_Output_M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3" i="1"/>
  <c r="I4" i="1"/>
  <c r="I5" i="1"/>
  <c r="I6" i="1"/>
  <c r="I7" i="1"/>
  <c r="I8" i="1"/>
  <c r="I3" i="1"/>
  <c r="N4" i="3"/>
  <c r="N5" i="3"/>
  <c r="N6" i="3"/>
  <c r="N3" i="3"/>
  <c r="I4" i="3"/>
  <c r="I5" i="3"/>
  <c r="I6" i="3"/>
  <c r="I7" i="3"/>
  <c r="I8" i="3"/>
  <c r="I3" i="3"/>
  <c r="D4" i="3"/>
  <c r="D5" i="3"/>
  <c r="D6" i="3"/>
  <c r="D3" i="3"/>
  <c r="M4" i="1"/>
  <c r="M5" i="1"/>
  <c r="M6" i="1"/>
  <c r="M7" i="1"/>
  <c r="M3" i="1"/>
  <c r="H4" i="1"/>
  <c r="H5" i="1"/>
  <c r="H6" i="1"/>
  <c r="H7" i="1"/>
  <c r="H8" i="1"/>
  <c r="H3" i="1"/>
  <c r="C5" i="1"/>
  <c r="C6" i="1"/>
  <c r="C7" i="1"/>
  <c r="C4" i="1"/>
  <c r="C3" i="1"/>
</calcChain>
</file>

<file path=xl/sharedStrings.xml><?xml version="1.0" encoding="utf-8"?>
<sst xmlns="http://schemas.openxmlformats.org/spreadsheetml/2006/main" count="40" uniqueCount="24">
  <si>
    <t>\-ln(1-conversion)</t>
  </si>
  <si>
    <t>time(min)</t>
  </si>
  <si>
    <t>Conversion</t>
  </si>
  <si>
    <t>Monomer Concentration:(methyl methacrylate, MMA)</t>
  </si>
  <si>
    <t xml:space="preserve">    Initiator Concentration:(BAPO)</t>
  </si>
  <si>
    <t>Time</t>
  </si>
  <si>
    <t>Temperature</t>
  </si>
  <si>
    <t xml:space="preserve">1.6 × 10⁻³ M </t>
  </si>
  <si>
    <t xml:space="preserve">    2.4 M </t>
  </si>
  <si>
    <t xml:space="preserve">    12.9M</t>
  </si>
  <si>
    <t xml:space="preserve">    45, 55, and 65 °C</t>
  </si>
  <si>
    <t xml:space="preserve">    0–270 min </t>
  </si>
  <si>
    <r>
      <t xml:space="preserve">Solvent Concentration: </t>
    </r>
    <r>
      <rPr>
        <b/>
        <sz val="11"/>
        <color theme="1"/>
        <rFont val="Aptos"/>
        <family val="2"/>
      </rPr>
      <t xml:space="preserve"> </t>
    </r>
    <r>
      <rPr>
        <sz val="11"/>
        <color theme="1"/>
        <rFont val="Aptos"/>
        <family val="2"/>
      </rPr>
      <t>dimethylformamide (DMF)~75 vol%</t>
    </r>
  </si>
  <si>
    <t>0.64 g</t>
  </si>
  <si>
    <t>0.68mL</t>
  </si>
  <si>
    <t>0.0043 mmol</t>
  </si>
  <si>
    <t>0.0018g</t>
  </si>
  <si>
    <t>1.399g</t>
  </si>
  <si>
    <t>1.98 mL</t>
  </si>
  <si>
    <t>Conversion (%)</t>
  </si>
  <si>
    <t>conversion</t>
  </si>
  <si>
    <t>Mn</t>
  </si>
  <si>
    <t>Mw</t>
  </si>
  <si>
    <t>PDI (Mw/Mn)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</si>
</sst>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6" fillId="0" borderId="0" xfId="0" applyFont="1"/>
    <xf numFmtId="0" fontId="19" fillId="0" borderId="0" xfId="0" applyFont="1"/>
    <xf numFmtId="0" fontId="19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45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MMA_Output_Conversion!$A$3:$A$7</c:f>
              <c:numCache>
                <c:formatCode>General</c:formatCode>
                <c:ptCount val="5"/>
                <c:pt idx="0">
                  <c:v>59.756097560975597</c:v>
                </c:pt>
                <c:pt idx="1">
                  <c:v>120.121951219512</c:v>
                </c:pt>
                <c:pt idx="2">
                  <c:v>270.12195121951203</c:v>
                </c:pt>
                <c:pt idx="3">
                  <c:v>19.512195121951201</c:v>
                </c:pt>
                <c:pt idx="4">
                  <c:v>9.1463414634146396</c:v>
                </c:pt>
              </c:numCache>
            </c:numRef>
          </c:xVal>
          <c:yVal>
            <c:numRef>
              <c:f>MMA_Output_Conversion!$B$3:$B$7</c:f>
              <c:numCache>
                <c:formatCode>General</c:formatCode>
                <c:ptCount val="5"/>
                <c:pt idx="0">
                  <c:v>0.36255319148936099</c:v>
                </c:pt>
                <c:pt idx="1">
                  <c:v>0.53106382978723399</c:v>
                </c:pt>
                <c:pt idx="2">
                  <c:v>0.91148936170212702</c:v>
                </c:pt>
                <c:pt idx="3">
                  <c:v>0.171063829787234</c:v>
                </c:pt>
                <c:pt idx="4">
                  <c:v>0.109787234042553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D1-834C-B662-60D393D7B18E}"/>
            </c:ext>
          </c:extLst>
        </c:ser>
        <c:ser>
          <c:idx val="1"/>
          <c:order val="1"/>
          <c:tx>
            <c:v>55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MMA_Output_Conversion!$F$3:$F$8</c:f>
              <c:numCache>
                <c:formatCode>General</c:formatCode>
                <c:ptCount val="6"/>
                <c:pt idx="0">
                  <c:v>9.1463414634146396</c:v>
                </c:pt>
                <c:pt idx="1">
                  <c:v>19.512195121951201</c:v>
                </c:pt>
                <c:pt idx="2">
                  <c:v>39.634146341463399</c:v>
                </c:pt>
                <c:pt idx="3">
                  <c:v>89.634146341463406</c:v>
                </c:pt>
                <c:pt idx="4">
                  <c:v>170.121951219512</c:v>
                </c:pt>
                <c:pt idx="5">
                  <c:v>250</c:v>
                </c:pt>
              </c:numCache>
            </c:numRef>
          </c:xVal>
          <c:yVal>
            <c:numRef>
              <c:f>MMA_Output_Conversion!$G$3:$G$8</c:f>
              <c:numCache>
                <c:formatCode>General</c:formatCode>
                <c:ptCount val="6"/>
                <c:pt idx="0">
                  <c:v>0.102127659574468</c:v>
                </c:pt>
                <c:pt idx="1">
                  <c:v>0.171063829787234</c:v>
                </c:pt>
                <c:pt idx="2">
                  <c:v>0.27574468085106302</c:v>
                </c:pt>
                <c:pt idx="3">
                  <c:v>0.44425531914893601</c:v>
                </c:pt>
                <c:pt idx="4">
                  <c:v>0.81191489361702096</c:v>
                </c:pt>
                <c:pt idx="5">
                  <c:v>1.1004255319148899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D1-834C-B662-60D393D7B18E}"/>
            </c:ext>
          </c:extLst>
        </c:ser>
        <c:ser>
          <c:idx val="2"/>
          <c:order val="2"/>
          <c:tx>
            <c:v>65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MMA_Output_Conversion!$K$3:$K$7</c:f>
              <c:numCache>
                <c:formatCode>General</c:formatCode>
                <c:ptCount val="5"/>
                <c:pt idx="0">
                  <c:v>0</c:v>
                </c:pt>
                <c:pt idx="1">
                  <c:v>9.7560975609756007</c:v>
                </c:pt>
                <c:pt idx="2">
                  <c:v>29.878048780487799</c:v>
                </c:pt>
                <c:pt idx="3">
                  <c:v>90.243902439024396</c:v>
                </c:pt>
                <c:pt idx="4">
                  <c:v>179.87804878048701</c:v>
                </c:pt>
              </c:numCache>
            </c:numRef>
          </c:xVal>
          <c:yVal>
            <c:numRef>
              <c:f>MMA_Output_Conversion!$L$3:$L$7</c:f>
              <c:numCache>
                <c:formatCode>General</c:formatCode>
                <c:ptCount val="5"/>
                <c:pt idx="0">
                  <c:v>2.5531914893617202E-3</c:v>
                </c:pt>
                <c:pt idx="1">
                  <c:v>0.109787234042553</c:v>
                </c:pt>
                <c:pt idx="2">
                  <c:v>0.32680851063829702</c:v>
                </c:pt>
                <c:pt idx="3">
                  <c:v>0.64085106382978696</c:v>
                </c:pt>
                <c:pt idx="4">
                  <c:v>1.03659574468085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D1-834C-B662-60D393D7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788800"/>
        <c:axId val="1881796416"/>
      </c:scatterChart>
      <c:valAx>
        <c:axId val="188178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96416"/>
        <c:crosses val="autoZero"/>
        <c:crossBetween val="midCat"/>
      </c:valAx>
      <c:valAx>
        <c:axId val="188179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8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45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[1]MMA_fig2b_Mn!$A$3:$A$6</c:f>
              <c:numCache>
                <c:formatCode>General</c:formatCode>
                <c:ptCount val="4"/>
                <c:pt idx="0">
                  <c:v>0.15995349470012701</c:v>
                </c:pt>
                <c:pt idx="1">
                  <c:v>0.30433760868758503</c:v>
                </c:pt>
                <c:pt idx="2">
                  <c:v>0.41329358944230699</c:v>
                </c:pt>
                <c:pt idx="3">
                  <c:v>0.60120963253392001</c:v>
                </c:pt>
              </c:numCache>
            </c:numRef>
          </c:xVal>
          <c:yVal>
            <c:numRef>
              <c:f>[1]MMA_fig2b_Mn!$B$3:$B$6</c:f>
              <c:numCache>
                <c:formatCode>General</c:formatCode>
                <c:ptCount val="4"/>
                <c:pt idx="0">
                  <c:v>11757.9250720461</c:v>
                </c:pt>
                <c:pt idx="1">
                  <c:v>12795.389048991299</c:v>
                </c:pt>
                <c:pt idx="2">
                  <c:v>17463.9769452449</c:v>
                </c:pt>
                <c:pt idx="3">
                  <c:v>22074.927953890401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A-4181-8BC3-3B965DA327B6}"/>
            </c:ext>
          </c:extLst>
        </c:ser>
        <c:ser>
          <c:idx val="1"/>
          <c:order val="1"/>
          <c:tx>
            <c:v>55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[1]MMA_fig2b_Mn!$C$3:$C$8</c:f>
              <c:numCache>
                <c:formatCode>General</c:formatCode>
                <c:ptCount val="6"/>
                <c:pt idx="0">
                  <c:v>9.7537445424298999E-2</c:v>
                </c:pt>
                <c:pt idx="1">
                  <c:v>0.158147703800818</c:v>
                </c:pt>
                <c:pt idx="2">
                  <c:v>0.24210955956017799</c:v>
                </c:pt>
                <c:pt idx="3">
                  <c:v>0.36089102175606902</c:v>
                </c:pt>
                <c:pt idx="4">
                  <c:v>0.55952307330768902</c:v>
                </c:pt>
                <c:pt idx="5">
                  <c:v>0.67144747745853495</c:v>
                </c:pt>
              </c:numCache>
            </c:numRef>
          </c:xVal>
          <c:yVal>
            <c:numRef>
              <c:f>[1]MMA_fig2b_Mn!$D$3:$D$8</c:f>
              <c:numCache>
                <c:formatCode>General</c:formatCode>
                <c:ptCount val="6"/>
                <c:pt idx="0">
                  <c:v>8184.4380403458199</c:v>
                </c:pt>
                <c:pt idx="1">
                  <c:v>11239.1930835734</c:v>
                </c:pt>
                <c:pt idx="2">
                  <c:v>10317.002881844301</c:v>
                </c:pt>
                <c:pt idx="3">
                  <c:v>12219.020172910599</c:v>
                </c:pt>
                <c:pt idx="4">
                  <c:v>19250.720461095101</c:v>
                </c:pt>
                <c:pt idx="5">
                  <c:v>21210.374639769401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9A-4181-8BC3-3B965DA327B6}"/>
            </c:ext>
          </c:extLst>
        </c:ser>
        <c:ser>
          <c:idx val="2"/>
          <c:order val="2"/>
          <c:tx>
            <c:v>65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[1]MMA_fig2b_Mn!$E$3:$E$6</c:f>
              <c:numCache>
                <c:formatCode>General</c:formatCode>
                <c:ptCount val="4"/>
                <c:pt idx="0">
                  <c:v>0.106348715538459</c:v>
                </c:pt>
                <c:pt idx="1">
                  <c:v>0.27991737888214102</c:v>
                </c:pt>
                <c:pt idx="2">
                  <c:v>0.47444311140245599</c:v>
                </c:pt>
                <c:pt idx="3">
                  <c:v>0.64875388059516903</c:v>
                </c:pt>
              </c:numCache>
            </c:numRef>
          </c:xVal>
          <c:yVal>
            <c:numRef>
              <c:f>[1]MMA_fig2b_Mn!$F$3:$F$6</c:f>
              <c:numCache>
                <c:formatCode>General</c:formatCode>
                <c:ptCount val="4"/>
                <c:pt idx="0">
                  <c:v>9510.0864553314095</c:v>
                </c:pt>
                <c:pt idx="1">
                  <c:v>10547.550432276599</c:v>
                </c:pt>
                <c:pt idx="2">
                  <c:v>13659.942363112301</c:v>
                </c:pt>
                <c:pt idx="3">
                  <c:v>19020.172910662801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9A-4181-8BC3-3B965DA32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1725504"/>
        <c:axId val="1881921664"/>
      </c:scatterChart>
      <c:valAx>
        <c:axId val="188172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921664"/>
        <c:crosses val="autoZero"/>
        <c:crossBetween val="midCat"/>
      </c:valAx>
      <c:valAx>
        <c:axId val="1881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2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777304</xdr:colOff>
      <xdr:row>13</xdr:row>
      <xdr:rowOff>114149</xdr:rowOff>
    </xdr:from>
    <xdr:to>
      <xdr:col>10</xdr:col>
      <xdr:colOff>389809</xdr:colOff>
      <xdr:row>30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C7231-03AC-F3FC-1DEE-AEDB2376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7661" y="2767542"/>
          <a:ext cx="3637952" cy="3358847"/>
        </a:xfrm>
        <a:prstGeom prst="rect">
          <a:avLst/>
        </a:prstGeom>
      </xdr:spPr>
    </xdr:pic>
    <xdr:clientData/>
  </xdr:twoCellAnchor>
  <xdr:twoCellAnchor>
    <xdr:from>
      <xdr:col>0</xdr:col>
      <xdr:colOff>237218</xdr:colOff>
      <xdr:row>13</xdr:row>
      <xdr:rowOff>123222</xdr:rowOff>
    </xdr:from>
    <xdr:to>
      <xdr:col>5</xdr:col>
      <xdr:colOff>330654</xdr:colOff>
      <xdr:row>29</xdr:row>
      <xdr:rowOff>118566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2C25E4-9B36-6DA5-A010-3D9BF0B48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11</xdr:row>
      <xdr:rowOff>28575</xdr:rowOff>
    </xdr:from>
    <xdr:to>
      <xdr:col>8</xdr:col>
      <xdr:colOff>568325</xdr:colOff>
      <xdr:row>27</xdr:row>
      <xdr:rowOff>130175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A94E85-8C49-451A-B8FC-45E5EB714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g7\Documents\A_Research\Autoflow\Polymerization_Depolymerization_Autoflow\Data_extracted_MMA_STY\MMA_fig2b_Mn.xlsx" TargetMode="External"/><Relationship Id="rId1" Type="http://schemas.openxmlformats.org/officeDocument/2006/relationships/externalLinkPath" Target="Data_extracted_MMA_STY/MMA_fig2b_M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MA_fig2b_Mn"/>
    </sheetNames>
    <sheetDataSet>
      <sheetData sheetId="0">
        <row r="3">
          <cell r="A3">
            <v>0.15995349470012701</v>
          </cell>
          <cell r="B3">
            <v>11757.9250720461</v>
          </cell>
          <cell r="C3">
            <v>9.7537445424298999E-2</v>
          </cell>
          <cell r="D3">
            <v>8184.4380403458199</v>
          </cell>
          <cell r="E3">
            <v>0.106348715538459</v>
          </cell>
          <cell r="F3">
            <v>9510.0864553314095</v>
          </cell>
        </row>
        <row r="4">
          <cell r="A4">
            <v>0.30433760868758503</v>
          </cell>
          <cell r="B4">
            <v>12795.389048991299</v>
          </cell>
          <cell r="C4">
            <v>0.158147703800818</v>
          </cell>
          <cell r="D4">
            <v>11239.1930835734</v>
          </cell>
          <cell r="E4">
            <v>0.27991737888214102</v>
          </cell>
          <cell r="F4">
            <v>10547.550432276599</v>
          </cell>
        </row>
        <row r="5">
          <cell r="A5">
            <v>0.41329358944230699</v>
          </cell>
          <cell r="B5">
            <v>17463.9769452449</v>
          </cell>
          <cell r="C5">
            <v>0.24210955956017799</v>
          </cell>
          <cell r="D5">
            <v>10317.002881844301</v>
          </cell>
          <cell r="E5">
            <v>0.47444311140245599</v>
          </cell>
          <cell r="F5">
            <v>13659.942363112301</v>
          </cell>
        </row>
        <row r="6">
          <cell r="A6">
            <v>0.60120963253392001</v>
          </cell>
          <cell r="B6">
            <v>22074.927953890401</v>
          </cell>
          <cell r="C6">
            <v>0.36089102175606902</v>
          </cell>
          <cell r="D6">
            <v>12219.020172910599</v>
          </cell>
          <cell r="E6">
            <v>0.64875388059516903</v>
          </cell>
          <cell r="F6">
            <v>19020.172910662801</v>
          </cell>
        </row>
        <row r="7">
          <cell r="C7">
            <v>0.55952307330768902</v>
          </cell>
          <cell r="D7">
            <v>19250.720461095101</v>
          </cell>
        </row>
        <row r="8">
          <cell r="C8">
            <v>0.67144747745853495</v>
          </cell>
          <cell r="D8">
            <v>21210.374639769401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7682-237A-4A48-AB0C-FCA1B24DEC91}">
  <dimension ref="A2:D6"/>
  <sheetViews>
    <sheetView workbookViewId="0">
      <selection activeCell="E9" sqref="E9"/>
    </sheetView>
  </sheetViews>
  <sheetFormatPr defaultRowHeight="16" x14ac:dyDescent="0.4"/>
  <cols>
    <col min="1" max="1" width="52" customWidth="1"/>
    <col min="2" max="2" width="18.08203125" customWidth="1"/>
    <col min="3" max="3" width="11.25" customWidth="1"/>
  </cols>
  <sheetData>
    <row r="2" spans="1:4" ht="16.5" customHeight="1" x14ac:dyDescent="0.4">
      <c r="A2" s="4" t="s">
        <v>3</v>
      </c>
      <c r="B2" s="3" t="s">
        <v>8</v>
      </c>
      <c r="C2" s="2" t="s">
        <v>13</v>
      </c>
      <c r="D2" t="s">
        <v>14</v>
      </c>
    </row>
    <row r="3" spans="1:4" ht="16" customHeight="1" x14ac:dyDescent="0.4">
      <c r="A3" s="3" t="s">
        <v>4</v>
      </c>
      <c r="B3" s="4" t="s">
        <v>7</v>
      </c>
      <c r="C3" s="2" t="s">
        <v>16</v>
      </c>
      <c r="D3" t="s">
        <v>15</v>
      </c>
    </row>
    <row r="4" spans="1:4" x14ac:dyDescent="0.4">
      <c r="A4" s="4" t="s">
        <v>12</v>
      </c>
      <c r="B4" s="3" t="s">
        <v>9</v>
      </c>
      <c r="C4" s="2" t="s">
        <v>17</v>
      </c>
      <c r="D4" t="s">
        <v>18</v>
      </c>
    </row>
    <row r="5" spans="1:4" x14ac:dyDescent="0.4">
      <c r="A5" s="4" t="s">
        <v>5</v>
      </c>
      <c r="B5" s="3" t="s">
        <v>11</v>
      </c>
    </row>
    <row r="6" spans="1:4" x14ac:dyDescent="0.4">
      <c r="A6" s="4" t="s">
        <v>6</v>
      </c>
      <c r="B6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CCEC-B891-1146-8756-94B45819881E}">
  <dimension ref="A1:N8"/>
  <sheetViews>
    <sheetView tabSelected="1" zoomScale="84" workbookViewId="0">
      <selection activeCell="N2" sqref="N2"/>
    </sheetView>
  </sheetViews>
  <sheetFormatPr defaultColWidth="10.6640625" defaultRowHeight="16" x14ac:dyDescent="0.4"/>
  <sheetData>
    <row r="1" spans="1:14" x14ac:dyDescent="0.4">
      <c r="A1" s="2">
        <v>45</v>
      </c>
      <c r="F1" s="2">
        <v>55</v>
      </c>
      <c r="K1" s="2">
        <v>65</v>
      </c>
    </row>
    <row r="2" spans="1:14" x14ac:dyDescent="0.4">
      <c r="A2" s="2" t="s">
        <v>1</v>
      </c>
      <c r="B2" s="1" t="s">
        <v>0</v>
      </c>
      <c r="C2" s="2" t="s">
        <v>2</v>
      </c>
      <c r="D2" s="2" t="s">
        <v>19</v>
      </c>
      <c r="E2" s="2"/>
      <c r="F2" s="2" t="s">
        <v>1</v>
      </c>
      <c r="G2" s="1" t="s">
        <v>0</v>
      </c>
      <c r="H2" s="2" t="s">
        <v>2</v>
      </c>
      <c r="I2" s="2" t="s">
        <v>19</v>
      </c>
      <c r="J2" s="1"/>
      <c r="K2" s="2" t="s">
        <v>1</v>
      </c>
      <c r="L2" s="1" t="s">
        <v>0</v>
      </c>
      <c r="M2" s="2" t="s">
        <v>2</v>
      </c>
      <c r="N2" s="2" t="s">
        <v>19</v>
      </c>
    </row>
    <row r="3" spans="1:14" x14ac:dyDescent="0.4">
      <c r="A3">
        <v>59.756097560975597</v>
      </c>
      <c r="B3">
        <v>0.36255319148936099</v>
      </c>
      <c r="C3">
        <f>1-EXP(-B3)</f>
        <v>0.30410270311950194</v>
      </c>
      <c r="D3">
        <v>30.4</v>
      </c>
      <c r="F3">
        <v>9.1463414634146396</v>
      </c>
      <c r="G3">
        <v>0.102127659574468</v>
      </c>
      <c r="H3">
        <f>1-EXP(-G3)</f>
        <v>9.7085721341413023E-2</v>
      </c>
      <c r="I3">
        <f>H3*100</f>
        <v>9.7085721341413027</v>
      </c>
      <c r="K3">
        <v>0</v>
      </c>
      <c r="L3">
        <v>2.5531914893617202E-3</v>
      </c>
      <c r="M3">
        <f>1-EXP(-L3)</f>
        <v>2.5499348681531364E-3</v>
      </c>
      <c r="N3">
        <f>M3*100</f>
        <v>0.25499348681531364</v>
      </c>
    </row>
    <row r="4" spans="1:14" x14ac:dyDescent="0.4">
      <c r="A4">
        <v>120.121951219512</v>
      </c>
      <c r="B4">
        <v>0.53106382978723399</v>
      </c>
      <c r="C4">
        <f>1-EXP(-B4)</f>
        <v>0.4120208728673076</v>
      </c>
      <c r="D4">
        <v>41.2</v>
      </c>
      <c r="F4">
        <v>19.512195121951201</v>
      </c>
      <c r="G4">
        <v>0.171063829787234</v>
      </c>
      <c r="H4">
        <f t="shared" ref="H4:H8" si="0">1-EXP(-G4)</f>
        <v>0.15723222193319808</v>
      </c>
      <c r="I4">
        <f t="shared" ref="I4:I8" si="1">H4*100</f>
        <v>15.723222193319808</v>
      </c>
      <c r="K4">
        <v>9.7560975609756007</v>
      </c>
      <c r="L4">
        <v>0.109787234042553</v>
      </c>
      <c r="M4">
        <f t="shared" ref="M4:M7" si="2">1-EXP(-L4)</f>
        <v>0.10397524141760783</v>
      </c>
      <c r="N4">
        <f t="shared" ref="N4:N7" si="3">M4*100</f>
        <v>10.397524141760783</v>
      </c>
    </row>
    <row r="5" spans="1:14" x14ac:dyDescent="0.4">
      <c r="A5">
        <v>270.12195121951203</v>
      </c>
      <c r="B5">
        <v>0.91148936170212702</v>
      </c>
      <c r="C5">
        <f t="shared" ref="C5:C7" si="4">1-EXP(-B5)</f>
        <v>0.59807483391210148</v>
      </c>
      <c r="D5">
        <v>59.8</v>
      </c>
      <c r="F5">
        <v>39.634146341463399</v>
      </c>
      <c r="G5">
        <v>0.27574468085106302</v>
      </c>
      <c r="H5">
        <f t="shared" si="0"/>
        <v>0.24099330503227068</v>
      </c>
      <c r="I5">
        <f t="shared" si="1"/>
        <v>24.099330503227069</v>
      </c>
      <c r="K5">
        <v>29.878048780487799</v>
      </c>
      <c r="L5">
        <v>0.32680851063829702</v>
      </c>
      <c r="M5">
        <f t="shared" si="2"/>
        <v>0.27877816388644983</v>
      </c>
      <c r="N5">
        <f t="shared" si="3"/>
        <v>27.877816388644984</v>
      </c>
    </row>
    <row r="6" spans="1:14" x14ac:dyDescent="0.4">
      <c r="A6">
        <v>19.512195121951201</v>
      </c>
      <c r="B6">
        <v>0.171063829787234</v>
      </c>
      <c r="C6">
        <f t="shared" si="4"/>
        <v>0.15723222193319808</v>
      </c>
      <c r="D6">
        <v>15.7</v>
      </c>
      <c r="F6">
        <v>89.634146341463406</v>
      </c>
      <c r="G6">
        <v>0.44425531914893601</v>
      </c>
      <c r="H6">
        <f t="shared" si="0"/>
        <v>0.35869833667189543</v>
      </c>
      <c r="I6">
        <f t="shared" si="1"/>
        <v>35.869833667189546</v>
      </c>
      <c r="K6">
        <v>90.243902439024396</v>
      </c>
      <c r="L6">
        <v>0.64085106382978696</v>
      </c>
      <c r="M6">
        <f t="shared" si="2"/>
        <v>0.47315614455944355</v>
      </c>
      <c r="N6">
        <f t="shared" si="3"/>
        <v>47.315614455944356</v>
      </c>
    </row>
    <row r="7" spans="1:14" x14ac:dyDescent="0.4">
      <c r="A7">
        <v>9.1463414634146396</v>
      </c>
      <c r="B7">
        <v>0.109787234042553</v>
      </c>
      <c r="C7">
        <f t="shared" si="4"/>
        <v>0.10397524141760783</v>
      </c>
      <c r="D7">
        <v>10.4</v>
      </c>
      <c r="F7">
        <v>170.121951219512</v>
      </c>
      <c r="G7">
        <v>0.81191489361702096</v>
      </c>
      <c r="H7">
        <f t="shared" si="0"/>
        <v>0.55599297456221486</v>
      </c>
      <c r="I7">
        <f t="shared" si="1"/>
        <v>55.599297456221485</v>
      </c>
      <c r="K7">
        <v>179.87804878048701</v>
      </c>
      <c r="L7">
        <v>1.03659574468085</v>
      </c>
      <c r="M7">
        <f t="shared" si="2"/>
        <v>0.64534001764896143</v>
      </c>
      <c r="N7">
        <f t="shared" si="3"/>
        <v>64.534001764896146</v>
      </c>
    </row>
    <row r="8" spans="1:14" x14ac:dyDescent="0.4">
      <c r="F8">
        <v>250</v>
      </c>
      <c r="G8">
        <v>1.1004255319148899</v>
      </c>
      <c r="H8">
        <f t="shared" si="0"/>
        <v>0.66727053343813547</v>
      </c>
      <c r="I8">
        <f t="shared" si="1"/>
        <v>66.727053343813552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B5BB-D564-4122-A665-D9315E6A0011}">
  <dimension ref="A1:N8"/>
  <sheetViews>
    <sheetView workbookViewId="0">
      <selection activeCell="A2" sqref="A2"/>
    </sheetView>
  </sheetViews>
  <sheetFormatPr defaultRowHeight="16" x14ac:dyDescent="0.4"/>
  <cols>
    <col min="1" max="1" width="13.08203125" customWidth="1"/>
    <col min="3" max="3" width="12.83203125" customWidth="1"/>
    <col min="6" max="6" width="14.1640625" customWidth="1"/>
    <col min="8" max="8" width="14.9140625" customWidth="1"/>
    <col min="11" max="11" width="10.83203125" customWidth="1"/>
    <col min="13" max="13" width="13.4140625" customWidth="1"/>
  </cols>
  <sheetData>
    <row r="1" spans="1:14" x14ac:dyDescent="0.4">
      <c r="A1" s="2">
        <v>45</v>
      </c>
      <c r="F1" s="2">
        <v>55</v>
      </c>
      <c r="K1" s="2">
        <v>65</v>
      </c>
    </row>
    <row r="2" spans="1:14" x14ac:dyDescent="0.4">
      <c r="A2" t="s">
        <v>20</v>
      </c>
      <c r="B2" t="s">
        <v>21</v>
      </c>
      <c r="C2" t="s">
        <v>23</v>
      </c>
      <c r="D2" t="s">
        <v>22</v>
      </c>
      <c r="F2" t="s">
        <v>20</v>
      </c>
      <c r="G2" t="s">
        <v>21</v>
      </c>
      <c r="H2" t="s">
        <v>23</v>
      </c>
      <c r="I2" t="s">
        <v>22</v>
      </c>
      <c r="K2" t="s">
        <v>20</v>
      </c>
      <c r="L2" t="s">
        <v>21</v>
      </c>
      <c r="M2" t="s">
        <v>23</v>
      </c>
      <c r="N2" t="s">
        <v>22</v>
      </c>
    </row>
    <row r="3" spans="1:14" x14ac:dyDescent="0.4">
      <c r="A3">
        <v>0.15995349470012701</v>
      </c>
      <c r="B3">
        <v>11757.9250720461</v>
      </c>
      <c r="C3">
        <v>1.2193628400899099</v>
      </c>
      <c r="D3">
        <f>C3*B3</f>
        <v>14337.176909414491</v>
      </c>
      <c r="F3">
        <v>9.7537445424298999E-2</v>
      </c>
      <c r="G3">
        <v>8184.4380403458199</v>
      </c>
      <c r="H3">
        <v>1.5571926871671</v>
      </c>
      <c r="I3">
        <f>H3*G3</f>
        <v>12744.747064998741</v>
      </c>
      <c r="K3">
        <v>0.106348715538459</v>
      </c>
      <c r="L3">
        <v>9510.0864553314095</v>
      </c>
      <c r="M3">
        <v>1.4170307949549801</v>
      </c>
      <c r="N3">
        <f>M3*L3</f>
        <v>13476.085369888855</v>
      </c>
    </row>
    <row r="4" spans="1:14" x14ac:dyDescent="0.4">
      <c r="A4">
        <v>0.30433760868758503</v>
      </c>
      <c r="B4">
        <v>12795.389048991299</v>
      </c>
      <c r="C4">
        <v>1.50052376892156</v>
      </c>
      <c r="D4">
        <f t="shared" ref="D4:D6" si="0">C4*B4</f>
        <v>19199.785400610079</v>
      </c>
      <c r="F4">
        <v>0.158147703800818</v>
      </c>
      <c r="G4">
        <v>11239.1930835734</v>
      </c>
      <c r="H4">
        <v>1.37605944168226</v>
      </c>
      <c r="I4">
        <f t="shared" ref="I4:I8" si="1">H4*G4</f>
        <v>15465.797759541132</v>
      </c>
      <c r="K4">
        <v>0.27991737888214102</v>
      </c>
      <c r="L4">
        <v>10547.550432276599</v>
      </c>
      <c r="M4">
        <v>1.5663791289711699</v>
      </c>
      <c r="N4">
        <f t="shared" ref="N4:N6" si="2">M4*L4</f>
        <v>16521.462858888906</v>
      </c>
    </row>
    <row r="5" spans="1:14" x14ac:dyDescent="0.4">
      <c r="A5">
        <v>0.41329358944230699</v>
      </c>
      <c r="B5">
        <v>17463.9769452449</v>
      </c>
      <c r="C5">
        <v>1.4516061877816699</v>
      </c>
      <c r="D5">
        <f t="shared" si="0"/>
        <v>25350.816996993923</v>
      </c>
      <c r="F5">
        <v>0.24210955956017799</v>
      </c>
      <c r="G5">
        <v>10317.002881844301</v>
      </c>
      <c r="H5">
        <v>1.54968939284883</v>
      </c>
      <c r="I5">
        <f t="shared" si="1"/>
        <v>15988.149931984924</v>
      </c>
      <c r="K5">
        <v>0.47444311140245599</v>
      </c>
      <c r="L5">
        <v>13659.942363112301</v>
      </c>
      <c r="M5">
        <v>1.7075863443586801</v>
      </c>
      <c r="N5">
        <f t="shared" si="2"/>
        <v>23325.531043977204</v>
      </c>
    </row>
    <row r="6" spans="1:14" x14ac:dyDescent="0.4">
      <c r="A6">
        <v>0.60120963253392001</v>
      </c>
      <c r="B6">
        <v>22074.927953890401</v>
      </c>
      <c r="C6">
        <v>1.81545395152092</v>
      </c>
      <c r="D6">
        <f t="shared" si="0"/>
        <v>40076.015183429947</v>
      </c>
      <c r="F6">
        <v>0.36089102175606902</v>
      </c>
      <c r="G6">
        <v>12219.020172910599</v>
      </c>
      <c r="H6">
        <v>1.62452744527002</v>
      </c>
      <c r="I6">
        <f t="shared" si="1"/>
        <v>19850.133625201295</v>
      </c>
      <c r="K6">
        <v>0.64875388059516903</v>
      </c>
      <c r="L6">
        <v>19020.172910662801</v>
      </c>
      <c r="M6">
        <v>1.7785885922464399</v>
      </c>
      <c r="N6">
        <f t="shared" si="2"/>
        <v>33829.062561459621</v>
      </c>
    </row>
    <row r="7" spans="1:14" x14ac:dyDescent="0.4">
      <c r="F7">
        <v>0.55952307330768902</v>
      </c>
      <c r="G7">
        <v>19250.720461095101</v>
      </c>
      <c r="H7">
        <v>1.53482011361245</v>
      </c>
      <c r="I7">
        <f t="shared" si="1"/>
        <v>29546.3929652195</v>
      </c>
    </row>
    <row r="8" spans="1:14" x14ac:dyDescent="0.4">
      <c r="F8">
        <v>0.67144747745853495</v>
      </c>
      <c r="G8">
        <v>21210.374639769401</v>
      </c>
      <c r="H8">
        <v>1.6178745833656301</v>
      </c>
      <c r="I8">
        <f t="shared" si="1"/>
        <v>34315.726033345847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MMA_Input</vt:lpstr>
      <vt:lpstr>MMA_Output_Conversion</vt:lpstr>
      <vt:lpstr>MMA_Output_Mn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Maladeniya, Charini</dc:creator>
  <cp:lastModifiedBy>Maladeniya, Charini</cp:lastModifiedBy>
  <dcterms:created xsi:type="dcterms:W3CDTF">2026-02-24T18:56:45Z</dcterms:created>
  <dcterms:modified xsi:type="dcterms:W3CDTF">2026-04-06T19:28:38Z</dcterms:modified>
</cp:coreProperties>
</file>